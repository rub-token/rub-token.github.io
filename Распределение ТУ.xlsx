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19425" windowHeight="10425"/>
  </bookViews>
  <sheets>
    <sheet name="Main" sheetId="1" r:id="rId1"/>
    <sheet name="Интеграции" sheetId="2" r:id="rId2"/>
    <sheet name="Высвобождение в рынок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3" i="1"/>
  <c r="E16" i="1"/>
  <c r="F15" i="1" l="1"/>
  <c r="G15" i="1" s="1"/>
  <c r="F16" i="1"/>
  <c r="C6" i="3"/>
  <c r="C7" i="3" s="1"/>
  <c r="H15" i="1" l="1"/>
  <c r="I15" i="1" s="1"/>
  <c r="C9" i="3"/>
  <c r="D6" i="3" s="1"/>
  <c r="D7" i="3" s="1"/>
  <c r="G16" i="1"/>
  <c r="D9" i="3" l="1"/>
  <c r="E6" i="3" s="1"/>
  <c r="E7" i="3" s="1"/>
  <c r="E9" i="3" s="1"/>
  <c r="F6" i="3" s="1"/>
  <c r="F7" i="3" s="1"/>
  <c r="F9" i="3" s="1"/>
  <c r="G6" i="3" s="1"/>
  <c r="G7" i="3" s="1"/>
  <c r="H16" i="1"/>
  <c r="I16" i="1" s="1"/>
  <c r="G9" i="3" l="1"/>
  <c r="H6" i="3" s="1"/>
  <c r="H7" i="3" s="1"/>
  <c r="H9" i="3" l="1"/>
  <c r="I6" i="3" s="1"/>
  <c r="I7" i="3" s="1"/>
  <c r="I9" i="3" l="1"/>
  <c r="J6" i="3" s="1"/>
  <c r="J7" i="3" s="1"/>
  <c r="J9" i="3" s="1"/>
  <c r="E17" i="1" l="1"/>
  <c r="F17" i="1" s="1"/>
  <c r="E8" i="1"/>
  <c r="E18" i="1"/>
  <c r="F3" i="1"/>
  <c r="F18" i="1" l="1"/>
  <c r="G18" i="1" s="1"/>
  <c r="G17" i="1"/>
  <c r="F8" i="1"/>
  <c r="G8" i="1" s="1"/>
  <c r="G3" i="1"/>
  <c r="H18" i="1" l="1"/>
  <c r="I18" i="1" s="1"/>
  <c r="H17" i="1"/>
  <c r="I17" i="1" s="1"/>
  <c r="H3" i="1"/>
  <c r="I3" i="1" s="1"/>
  <c r="H8" i="1"/>
  <c r="I8" i="1" s="1"/>
  <c r="E13" i="1"/>
  <c r="E12" i="1"/>
  <c r="E14" i="1"/>
  <c r="E11" i="1"/>
  <c r="E6" i="1"/>
  <c r="E7" i="1"/>
  <c r="E9" i="1"/>
  <c r="E5" i="1"/>
  <c r="F11" i="1" l="1"/>
  <c r="G11" i="1" s="1"/>
  <c r="F14" i="1"/>
  <c r="F12" i="1"/>
  <c r="F13" i="1"/>
  <c r="G13" i="1" s="1"/>
  <c r="H13" i="1" s="1"/>
  <c r="F6" i="1"/>
  <c r="F5" i="1"/>
  <c r="F9" i="1"/>
  <c r="E20" i="1"/>
  <c r="F7" i="1"/>
  <c r="D20" i="1"/>
  <c r="G12" i="1" l="1"/>
  <c r="H12" i="1" s="1"/>
  <c r="I13" i="1"/>
  <c r="G6" i="1"/>
  <c r="G14" i="1"/>
  <c r="H14" i="1" s="1"/>
  <c r="H11" i="1"/>
  <c r="I11" i="1" s="1"/>
  <c r="G9" i="1"/>
  <c r="H9" i="1" s="1"/>
  <c r="G5" i="1"/>
  <c r="H5" i="1" s="1"/>
  <c r="G7" i="1"/>
  <c r="H7" i="1" s="1"/>
  <c r="I9" i="1" l="1"/>
  <c r="I14" i="1"/>
  <c r="H6" i="1"/>
  <c r="I6" i="1" s="1"/>
  <c r="I12" i="1"/>
  <c r="I7" i="1"/>
  <c r="I5" i="1"/>
</calcChain>
</file>

<file path=xl/sharedStrings.xml><?xml version="1.0" encoding="utf-8"?>
<sst xmlns="http://schemas.openxmlformats.org/spreadsheetml/2006/main" count="42" uniqueCount="41">
  <si>
    <t>Дизайн, контент</t>
  </si>
  <si>
    <t>OGs</t>
  </si>
  <si>
    <t>Резерв</t>
  </si>
  <si>
    <t>Итого</t>
  </si>
  <si>
    <t>Умный airdrops</t>
  </si>
  <si>
    <t>12-мес коэф</t>
  </si>
  <si>
    <t>1/2 получают сами сервисы</t>
  </si>
  <si>
    <t>1/2 партнеры, которые помогли с интеграцией</t>
  </si>
  <si>
    <t>включая продажи OTC</t>
  </si>
  <si>
    <t>Advisory</t>
  </si>
  <si>
    <t>Токенов</t>
  </si>
  <si>
    <t>коэфф</t>
  </si>
  <si>
    <t>кол-во</t>
  </si>
  <si>
    <t>высвобождение</t>
  </si>
  <si>
    <t>всего в рынке</t>
  </si>
  <si>
    <t>на проектном адресе</t>
  </si>
  <si>
    <t>?</t>
  </si>
  <si>
    <t>Инвестиции, млн.руб*</t>
  </si>
  <si>
    <t>* - соответствуют выпуску ТУ под эти цели</t>
  </si>
  <si>
    <t>Core Contributors*</t>
  </si>
  <si>
    <t>*распределяются по достижению определенных целей и задач</t>
  </si>
  <si>
    <t>в первые 12 мес: Х%, в следующие: Х% от оставшихся (1-Х)%, в следующие ещё Х%*(1-Х)%*(1-Х)% и т.д.</t>
  </si>
  <si>
    <t>Рост ликвидности**</t>
  </si>
  <si>
    <t>Награда холдерам RBL**</t>
  </si>
  <si>
    <t>Интеграции с сервисами**</t>
  </si>
  <si>
    <t>** - любой инвестор приглашается к участию в распределении ТУ по этим направлениям. Таким образом существенно увеличивается доля ТУ, начисляемая инвесторам</t>
  </si>
  <si>
    <t>Token Foundation***</t>
  </si>
  <si>
    <t>года</t>
  </si>
  <si>
    <t>За 3/6/12 мес берутся все интеграции и сопоставляются примерные пропорции их важности-вклада</t>
  </si>
  <si>
    <t>Ecosystem Development**</t>
  </si>
  <si>
    <t>маркетинг и продвижение, блогеры, инфлюенсеры</t>
  </si>
  <si>
    <t>при этом для каждого сервиса upfront reward сразу 2% от оставшегося годового reward по направлению</t>
  </si>
  <si>
    <t>Система отпуска в рынок:</t>
  </si>
  <si>
    <t>****</t>
  </si>
  <si>
    <t>через стейкинг</t>
  </si>
  <si>
    <t>Ликвидность на DEX</t>
  </si>
  <si>
    <t>**** - здесь и далее: график распределения будет немного отличаться ввиду otc-продаж небольшой части токенов до старта официального плана-графика согласно таблице.</t>
  </si>
  <si>
    <t>Инвесторы в Equity (в Проект)</t>
  </si>
  <si>
    <t>Разработка</t>
  </si>
  <si>
    <t>*** - Token Foundation, эти токены участвуют в распределении доходов, при этом все доходы по ним направляются на инвестирование в проекты, развивающие экосистему RUBL</t>
  </si>
  <si>
    <t>Администрирование, включая размещение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</si>
</sst>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10" fontId="0" fillId="0" borderId="0" xfId="0" applyNumberFormat="1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0" fontId="0" fillId="0" borderId="0" xfId="0" applyNumberFormat="1"/>
    <xf numFmtId="9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10" fontId="0" fillId="0" borderId="6" xfId="0" applyNumberFormat="1" applyBorder="1"/>
    <xf numFmtId="10" fontId="0" fillId="0" borderId="2" xfId="0" applyNumberFormat="1" applyBorder="1"/>
    <xf numFmtId="10" fontId="0" fillId="0" borderId="7" xfId="0" applyNumberFormat="1" applyBorder="1"/>
    <xf numFmtId="0" fontId="0" fillId="0" borderId="11" xfId="0" applyBorder="1"/>
    <xf numFmtId="10" fontId="0" fillId="0" borderId="12" xfId="0" applyNumberFormat="1" applyBorder="1"/>
    <xf numFmtId="0" fontId="0" fillId="0" borderId="0" xfId="0" applyFill="1" applyBorder="1"/>
    <xf numFmtId="164" fontId="0" fillId="0" borderId="0" xfId="1" applyNumberFormat="1" applyFont="1"/>
    <xf numFmtId="164" fontId="0" fillId="0" borderId="0" xfId="0" applyNumberFormat="1"/>
    <xf numFmtId="0" fontId="2" fillId="2" borderId="0" xfId="0" applyFont="1" applyFill="1"/>
    <xf numFmtId="9" fontId="0" fillId="0" borderId="1" xfId="0" applyNumberFormat="1" applyBorder="1"/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/>
    <xf numFmtId="165" fontId="0" fillId="0" borderId="7" xfId="0" applyNumberFormat="1" applyBorder="1" applyAlignment="1">
      <alignment horizontal="center" vertical="center"/>
    </xf>
    <xf numFmtId="9" fontId="0" fillId="0" borderId="0" xfId="0" applyNumberFormat="1" applyBorder="1"/>
    <xf numFmtId="0" fontId="0" fillId="0" borderId="0" xfId="0" applyBorder="1" applyAlignment="1">
      <alignment wrapText="1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26.5703125" customWidth="1"/>
    <col min="2" max="2" width="30.42578125" customWidth="1"/>
  </cols>
  <sheetData>
    <row r="1" spans="1:11" x14ac:dyDescent="0.25">
      <c r="A1" t="s">
        <v>10</v>
      </c>
      <c r="B1" s="21">
        <v>24000000</v>
      </c>
      <c r="C1" t="s">
        <v>33</v>
      </c>
      <c r="F1" s="33" t="s">
        <v>27</v>
      </c>
      <c r="G1" s="33"/>
      <c r="H1" s="33"/>
      <c r="I1" s="33"/>
    </row>
    <row r="2" spans="1:11" x14ac:dyDescent="0.25">
      <c r="F2">
        <v>1</v>
      </c>
      <c r="G2">
        <v>2</v>
      </c>
      <c r="H2">
        <v>3</v>
      </c>
      <c r="I2">
        <v>4</v>
      </c>
    </row>
    <row r="3" spans="1:11" x14ac:dyDescent="0.25">
      <c r="A3" s="6" t="s">
        <v>37</v>
      </c>
      <c r="B3" s="5"/>
      <c r="C3" s="5"/>
      <c r="D3" s="25">
        <v>0.2</v>
      </c>
      <c r="E3" s="16">
        <f>D3</f>
        <v>0.2</v>
      </c>
      <c r="F3" s="10">
        <f>E3*$B$28</f>
        <v>4.0000000000000008E-2</v>
      </c>
      <c r="G3" s="10">
        <f>(E3-F3)*$B$28</f>
        <v>3.2000000000000001E-2</v>
      </c>
      <c r="H3" s="10">
        <f>(E3-F3-G3)*$B$28</f>
        <v>2.5600000000000001E-2</v>
      </c>
      <c r="I3" s="10">
        <f>(E3-F3-G3-H3)*$B$28</f>
        <v>2.0480000000000002E-2</v>
      </c>
    </row>
    <row r="4" spans="1:11" x14ac:dyDescent="0.25">
      <c r="A4" s="7" t="s">
        <v>19</v>
      </c>
      <c r="B4" s="3"/>
      <c r="C4" s="3"/>
      <c r="D4" s="30">
        <v>0.2</v>
      </c>
      <c r="E4" s="8"/>
    </row>
    <row r="5" spans="1:11" x14ac:dyDescent="0.25">
      <c r="A5" s="8"/>
      <c r="B5" s="1" t="s">
        <v>38</v>
      </c>
      <c r="C5" s="4">
        <v>0.25</v>
      </c>
      <c r="D5" s="31"/>
      <c r="E5" s="15">
        <f>C5*$D$4</f>
        <v>0.05</v>
      </c>
      <c r="F5" s="10">
        <f>E5*$B$28</f>
        <v>1.0000000000000002E-2</v>
      </c>
      <c r="G5" s="10">
        <f>(E5-F5)*$B$28</f>
        <v>8.0000000000000002E-3</v>
      </c>
      <c r="H5" s="10">
        <f>(E5-F5-G5)*$B$28</f>
        <v>6.4000000000000003E-3</v>
      </c>
      <c r="I5" s="10">
        <f>(E5-F5-G5-H5)*$B$28</f>
        <v>5.1200000000000004E-3</v>
      </c>
    </row>
    <row r="6" spans="1:11" x14ac:dyDescent="0.25">
      <c r="A6" s="8"/>
      <c r="B6" s="1" t="s">
        <v>0</v>
      </c>
      <c r="C6" s="4">
        <v>7.4999999999999997E-2</v>
      </c>
      <c r="D6" s="31"/>
      <c r="E6" s="15">
        <f t="shared" ref="E6:E9" si="0">C6*$D$4</f>
        <v>1.4999999999999999E-2</v>
      </c>
      <c r="F6" s="10">
        <f>E6*$B$28</f>
        <v>3.0000000000000001E-3</v>
      </c>
      <c r="G6" s="10">
        <f>(E6-F6)*$B$28</f>
        <v>2.4000000000000002E-3</v>
      </c>
      <c r="H6" s="10">
        <f>(E6-F6-G6)*$B$28</f>
        <v>1.9200000000000003E-3</v>
      </c>
      <c r="I6" s="10">
        <f>(E6-F6-G6-H6)*$B$28</f>
        <v>1.5360000000000003E-3</v>
      </c>
    </row>
    <row r="7" spans="1:11" ht="30" x14ac:dyDescent="0.25">
      <c r="A7" s="8"/>
      <c r="B7" s="29" t="s">
        <v>40</v>
      </c>
      <c r="C7" s="4">
        <v>0.375</v>
      </c>
      <c r="D7" s="31"/>
      <c r="E7" s="15">
        <f t="shared" si="0"/>
        <v>7.5000000000000011E-2</v>
      </c>
      <c r="F7" s="10">
        <f>E7*$B$28</f>
        <v>1.5000000000000003E-2</v>
      </c>
      <c r="G7" s="10">
        <f>(E7-F7)*$B$28</f>
        <v>1.2000000000000004E-2</v>
      </c>
      <c r="H7" s="10">
        <f>(E7-F7-G7)*$B$28</f>
        <v>9.6000000000000026E-3</v>
      </c>
      <c r="I7" s="10">
        <f>(E7-F7-G7-H7)*$B$28</f>
        <v>7.6800000000000011E-3</v>
      </c>
    </row>
    <row r="8" spans="1:11" x14ac:dyDescent="0.25">
      <c r="A8" s="8"/>
      <c r="B8" s="20" t="s">
        <v>30</v>
      </c>
      <c r="C8" s="4">
        <v>0.2</v>
      </c>
      <c r="D8" s="31"/>
      <c r="E8" s="15">
        <f t="shared" si="0"/>
        <v>4.0000000000000008E-2</v>
      </c>
      <c r="F8" s="10">
        <f>E8*$B$28</f>
        <v>8.0000000000000019E-3</v>
      </c>
      <c r="G8" s="10">
        <f>(E8-F8)*$B$28</f>
        <v>6.400000000000002E-3</v>
      </c>
      <c r="H8" s="10">
        <f>(E8-F8-G8)*$B$28</f>
        <v>5.1200000000000013E-3</v>
      </c>
      <c r="I8" s="10">
        <f>(E8-F8-G8-H8)*$B$28</f>
        <v>4.0960000000000015E-3</v>
      </c>
    </row>
    <row r="9" spans="1:11" x14ac:dyDescent="0.25">
      <c r="A9" s="8"/>
      <c r="B9" s="1" t="s">
        <v>1</v>
      </c>
      <c r="C9" s="4">
        <v>0.1</v>
      </c>
      <c r="D9" s="32"/>
      <c r="E9" s="15">
        <f t="shared" si="0"/>
        <v>2.0000000000000004E-2</v>
      </c>
      <c r="F9" s="10">
        <f>E9*$B$28</f>
        <v>4.000000000000001E-3</v>
      </c>
      <c r="G9" s="10">
        <f>(E9-F9)*$B$28</f>
        <v>3.200000000000001E-3</v>
      </c>
      <c r="H9" s="10">
        <f>(E9-F9-G9)*$B$28</f>
        <v>2.5600000000000006E-3</v>
      </c>
      <c r="I9" s="10">
        <f>(E9-F9-G9-H9)*$B$28</f>
        <v>2.0480000000000008E-3</v>
      </c>
    </row>
    <row r="10" spans="1:11" x14ac:dyDescent="0.25">
      <c r="A10" s="12" t="s">
        <v>29</v>
      </c>
      <c r="B10" s="12"/>
      <c r="C10" s="3"/>
      <c r="D10" s="30">
        <v>0.2</v>
      </c>
      <c r="E10" s="7"/>
      <c r="G10" s="10"/>
      <c r="H10" s="10"/>
      <c r="I10" s="10"/>
    </row>
    <row r="11" spans="1:11" x14ac:dyDescent="0.25">
      <c r="A11" s="13"/>
      <c r="B11" s="13" t="s">
        <v>24</v>
      </c>
      <c r="C11" s="28">
        <v>0.36</v>
      </c>
      <c r="D11" s="31"/>
      <c r="E11" s="15">
        <f>C11*$D$10</f>
        <v>7.1999999999999995E-2</v>
      </c>
      <c r="F11" s="10">
        <f t="shared" ref="F11:F18" si="1">E11*$B$28</f>
        <v>1.44E-2</v>
      </c>
      <c r="G11" s="10">
        <f t="shared" ref="G11:G18" si="2">(E11-F11)*$B$28</f>
        <v>1.1520000000000001E-2</v>
      </c>
      <c r="H11" s="10">
        <f t="shared" ref="H11:H18" si="3">(E11-F11-G11)*$B$28</f>
        <v>9.2160000000000002E-3</v>
      </c>
      <c r="I11" s="10">
        <f t="shared" ref="I11:I18" si="4">(E11-F11-G11-H11)*$B$28</f>
        <v>7.3727999999999988E-3</v>
      </c>
    </row>
    <row r="12" spans="1:11" x14ac:dyDescent="0.25">
      <c r="A12" s="13"/>
      <c r="B12" s="13" t="s">
        <v>22</v>
      </c>
      <c r="C12" s="28">
        <v>0.27</v>
      </c>
      <c r="D12" s="31"/>
      <c r="E12" s="15">
        <f t="shared" ref="E12:E14" si="5">C12*$D$10</f>
        <v>5.4000000000000006E-2</v>
      </c>
      <c r="F12" s="10">
        <f t="shared" si="1"/>
        <v>1.0800000000000002E-2</v>
      </c>
      <c r="G12" s="10">
        <f t="shared" si="2"/>
        <v>8.6400000000000001E-3</v>
      </c>
      <c r="H12" s="10">
        <f t="shared" si="3"/>
        <v>6.9120000000000006E-3</v>
      </c>
      <c r="I12" s="10">
        <f t="shared" si="4"/>
        <v>5.5296E-3</v>
      </c>
    </row>
    <row r="13" spans="1:11" x14ac:dyDescent="0.25">
      <c r="A13" s="13"/>
      <c r="B13" s="13" t="s">
        <v>23</v>
      </c>
      <c r="C13" s="28">
        <v>0.27</v>
      </c>
      <c r="D13" s="31"/>
      <c r="E13" s="15">
        <f t="shared" si="5"/>
        <v>5.4000000000000006E-2</v>
      </c>
      <c r="F13" s="10">
        <f t="shared" si="1"/>
        <v>1.0800000000000002E-2</v>
      </c>
      <c r="G13" s="10">
        <f t="shared" si="2"/>
        <v>8.6400000000000001E-3</v>
      </c>
      <c r="H13" s="10">
        <f t="shared" si="3"/>
        <v>6.9120000000000006E-3</v>
      </c>
      <c r="I13" s="10">
        <f t="shared" si="4"/>
        <v>5.5296E-3</v>
      </c>
      <c r="K13" t="s">
        <v>34</v>
      </c>
    </row>
    <row r="14" spans="1:11" x14ac:dyDescent="0.25">
      <c r="A14" s="14"/>
      <c r="B14" s="14" t="s">
        <v>4</v>
      </c>
      <c r="C14" s="24">
        <v>0.1</v>
      </c>
      <c r="D14" s="32"/>
      <c r="E14" s="17">
        <f t="shared" si="5"/>
        <v>2.0000000000000004E-2</v>
      </c>
      <c r="F14" s="10">
        <f t="shared" si="1"/>
        <v>4.000000000000001E-3</v>
      </c>
      <c r="G14" s="10">
        <f t="shared" si="2"/>
        <v>3.200000000000001E-3</v>
      </c>
      <c r="H14" s="10">
        <f t="shared" si="3"/>
        <v>2.5600000000000006E-3</v>
      </c>
      <c r="I14" s="10">
        <f t="shared" si="4"/>
        <v>2.0480000000000008E-3</v>
      </c>
    </row>
    <row r="15" spans="1:11" x14ac:dyDescent="0.25">
      <c r="A15" s="14" t="s">
        <v>35</v>
      </c>
      <c r="B15" s="2"/>
      <c r="C15" s="24"/>
      <c r="D15" s="27">
        <v>0.15</v>
      </c>
      <c r="E15" s="17">
        <f>D15</f>
        <v>0.15</v>
      </c>
      <c r="F15" s="10">
        <f t="shared" si="1"/>
        <v>0.03</v>
      </c>
      <c r="G15" s="10">
        <f t="shared" si="2"/>
        <v>2.4E-2</v>
      </c>
      <c r="H15" s="10">
        <f t="shared" si="3"/>
        <v>1.9200000000000002E-2</v>
      </c>
      <c r="I15" s="10">
        <f t="shared" si="4"/>
        <v>1.5360000000000002E-2</v>
      </c>
    </row>
    <row r="16" spans="1:11" x14ac:dyDescent="0.25">
      <c r="A16" s="9" t="s">
        <v>26</v>
      </c>
      <c r="B16" s="2"/>
      <c r="C16" s="2"/>
      <c r="D16" s="25">
        <v>0.1</v>
      </c>
      <c r="E16" s="16">
        <f>D16</f>
        <v>0.1</v>
      </c>
      <c r="F16" s="10">
        <f t="shared" si="1"/>
        <v>2.0000000000000004E-2</v>
      </c>
      <c r="G16" s="10">
        <f t="shared" si="2"/>
        <v>1.6E-2</v>
      </c>
      <c r="H16" s="10">
        <f t="shared" si="3"/>
        <v>1.2800000000000001E-2</v>
      </c>
      <c r="I16" s="10">
        <f t="shared" si="4"/>
        <v>1.0240000000000001E-2</v>
      </c>
    </row>
    <row r="17" spans="1:10" x14ac:dyDescent="0.25">
      <c r="A17" s="9" t="s">
        <v>9</v>
      </c>
      <c r="B17" s="2"/>
      <c r="C17" s="2"/>
      <c r="D17" s="27">
        <v>0.03</v>
      </c>
      <c r="E17" s="17">
        <f>D17</f>
        <v>0.03</v>
      </c>
      <c r="F17" s="10">
        <f t="shared" si="1"/>
        <v>6.0000000000000001E-3</v>
      </c>
      <c r="G17" s="10">
        <f t="shared" si="2"/>
        <v>4.8000000000000004E-3</v>
      </c>
      <c r="H17" s="10">
        <f t="shared" si="3"/>
        <v>3.8400000000000005E-3</v>
      </c>
      <c r="I17" s="10">
        <f t="shared" si="4"/>
        <v>3.0720000000000005E-3</v>
      </c>
    </row>
    <row r="18" spans="1:10" x14ac:dyDescent="0.25">
      <c r="A18" s="9" t="s">
        <v>2</v>
      </c>
      <c r="B18" s="2" t="s">
        <v>8</v>
      </c>
      <c r="C18" s="2"/>
      <c r="D18" s="27">
        <v>0.12</v>
      </c>
      <c r="E18" s="17">
        <f>D18</f>
        <v>0.12</v>
      </c>
      <c r="F18" s="10">
        <f t="shared" si="1"/>
        <v>2.4E-2</v>
      </c>
      <c r="G18" s="10">
        <f t="shared" si="2"/>
        <v>1.9200000000000002E-2</v>
      </c>
      <c r="H18" s="10">
        <f t="shared" si="3"/>
        <v>1.5360000000000002E-2</v>
      </c>
      <c r="I18" s="10">
        <f t="shared" si="4"/>
        <v>1.2288000000000002E-2</v>
      </c>
    </row>
    <row r="19" spans="1:10" x14ac:dyDescent="0.25">
      <c r="D19" s="26"/>
    </row>
    <row r="20" spans="1:10" x14ac:dyDescent="0.25">
      <c r="A20" s="18" t="s">
        <v>3</v>
      </c>
      <c r="B20" s="5"/>
      <c r="C20" s="5"/>
      <c r="D20" s="25">
        <f>SUM(D3:D18)</f>
        <v>1</v>
      </c>
      <c r="E20" s="19">
        <f>SUM(E3:E19)</f>
        <v>1</v>
      </c>
      <c r="J20" s="10"/>
    </row>
    <row r="22" spans="1:10" x14ac:dyDescent="0.25">
      <c r="A22" t="s">
        <v>20</v>
      </c>
    </row>
    <row r="23" spans="1:10" x14ac:dyDescent="0.25">
      <c r="A23" t="s">
        <v>25</v>
      </c>
    </row>
    <row r="24" spans="1:10" x14ac:dyDescent="0.25">
      <c r="A24" t="s">
        <v>39</v>
      </c>
    </row>
    <row r="25" spans="1:10" x14ac:dyDescent="0.25">
      <c r="A25" t="s">
        <v>36</v>
      </c>
    </row>
    <row r="27" spans="1:10" x14ac:dyDescent="0.25">
      <c r="A27" t="s">
        <v>32</v>
      </c>
      <c r="B27" t="s">
        <v>21</v>
      </c>
    </row>
    <row r="28" spans="1:10" x14ac:dyDescent="0.25">
      <c r="A28" t="s">
        <v>5</v>
      </c>
      <c r="B28" s="11">
        <v>0.2</v>
      </c>
    </row>
  </sheetData>
  <mergeCells count="3">
    <mergeCell ref="D4:D9"/>
    <mergeCell ref="D10:D14"/>
    <mergeCell ref="F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"/>
  <sheetViews>
    <sheetView workbookViewId="0">
      <selection activeCell="A7" sqref="A7"/>
    </sheetView>
  </sheetViews>
  <sheetFormatPr defaultRowHeight="15" x14ac:dyDescent="0.25"/>
  <sheetData>
    <row r="2" spans="1:1" x14ac:dyDescent="0.25">
      <c r="A2" t="s">
        <v>28</v>
      </c>
    </row>
    <row r="3" spans="1:1" x14ac:dyDescent="0.25">
      <c r="A3" t="s">
        <v>6</v>
      </c>
    </row>
    <row r="4" spans="1:1" x14ac:dyDescent="0.25">
      <c r="A4" t="s">
        <v>7</v>
      </c>
    </row>
    <row r="6" spans="1:1" x14ac:dyDescent="0.25">
      <c r="A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selection activeCell="J6" sqref="J6"/>
    </sheetView>
  </sheetViews>
  <sheetFormatPr defaultRowHeight="15" x14ac:dyDescent="0.25"/>
  <cols>
    <col min="2" max="2" width="19.42578125" bestFit="1" customWidth="1"/>
    <col min="3" max="10" width="11" bestFit="1" customWidth="1"/>
  </cols>
  <sheetData>
    <row r="2" spans="1:10" x14ac:dyDescent="0.25">
      <c r="A2" t="s">
        <v>11</v>
      </c>
      <c r="B2" s="11">
        <v>0.16</v>
      </c>
    </row>
    <row r="3" spans="1:10" x14ac:dyDescent="0.25">
      <c r="A3" t="s">
        <v>12</v>
      </c>
      <c r="B3" s="21">
        <v>24000000</v>
      </c>
    </row>
    <row r="5" spans="1:10" x14ac:dyDescent="0.25">
      <c r="C5" s="23">
        <v>1</v>
      </c>
      <c r="D5" s="23">
        <v>2</v>
      </c>
      <c r="E5" s="23">
        <v>3</v>
      </c>
      <c r="F5" s="23">
        <v>4</v>
      </c>
      <c r="G5" s="23">
        <v>5</v>
      </c>
      <c r="H5" s="23">
        <v>6</v>
      </c>
      <c r="I5" s="23">
        <v>7</v>
      </c>
      <c r="J5" s="23">
        <v>8</v>
      </c>
    </row>
    <row r="6" spans="1:10" x14ac:dyDescent="0.25">
      <c r="B6" t="s">
        <v>13</v>
      </c>
      <c r="C6" s="22">
        <f>B3*B2</f>
        <v>3840000</v>
      </c>
      <c r="D6" s="22">
        <f>$B$2*C9</f>
        <v>3225600</v>
      </c>
      <c r="E6" s="22">
        <f t="shared" ref="E6:J6" si="0">$B$2*D9</f>
        <v>2709504</v>
      </c>
      <c r="F6" s="22">
        <f t="shared" si="0"/>
        <v>2275983.3599999999</v>
      </c>
      <c r="G6" s="22">
        <f t="shared" si="0"/>
        <v>1911826.0224000001</v>
      </c>
      <c r="H6" s="22">
        <f t="shared" si="0"/>
        <v>1605933.8588160002</v>
      </c>
      <c r="I6" s="22">
        <f t="shared" si="0"/>
        <v>1348984.4414054402</v>
      </c>
      <c r="J6" s="22">
        <f t="shared" si="0"/>
        <v>1133146.93078057</v>
      </c>
    </row>
    <row r="7" spans="1:10" x14ac:dyDescent="0.25">
      <c r="B7" t="s">
        <v>14</v>
      </c>
      <c r="C7" s="22">
        <f>C6</f>
        <v>3840000</v>
      </c>
      <c r="D7" s="22">
        <f>C7+D6</f>
        <v>7065600</v>
      </c>
      <c r="E7" s="22">
        <f t="shared" ref="E7:J7" si="1">D7+E6</f>
        <v>9775104</v>
      </c>
      <c r="F7" s="22">
        <f t="shared" si="1"/>
        <v>12051087.359999999</v>
      </c>
      <c r="G7" s="22">
        <f t="shared" si="1"/>
        <v>13962913.382399999</v>
      </c>
      <c r="H7" s="22">
        <f t="shared" si="1"/>
        <v>15568847.241215998</v>
      </c>
      <c r="I7" s="22">
        <f t="shared" si="1"/>
        <v>16917831.682621438</v>
      </c>
      <c r="J7" s="22">
        <f t="shared" si="1"/>
        <v>18050978.613402009</v>
      </c>
    </row>
    <row r="9" spans="1:10" x14ac:dyDescent="0.25">
      <c r="B9" t="s">
        <v>15</v>
      </c>
      <c r="C9" s="22">
        <f>B3-C7</f>
        <v>20160000</v>
      </c>
      <c r="D9" s="22">
        <f>$B$3-D7</f>
        <v>16934400</v>
      </c>
      <c r="E9" s="22">
        <f t="shared" ref="E9:J9" si="2">$B$3-E7</f>
        <v>14224896</v>
      </c>
      <c r="F9" s="22">
        <f t="shared" si="2"/>
        <v>11948912.640000001</v>
      </c>
      <c r="G9" s="22">
        <f t="shared" si="2"/>
        <v>10037086.617600001</v>
      </c>
      <c r="H9" s="22">
        <f t="shared" si="2"/>
        <v>8431152.7587840017</v>
      </c>
      <c r="I9" s="22">
        <f t="shared" si="2"/>
        <v>7082168.3173785619</v>
      </c>
      <c r="J9" s="22">
        <f t="shared" si="2"/>
        <v>5949021.386597991</v>
      </c>
    </row>
    <row r="12" spans="1:10" x14ac:dyDescent="0.25">
      <c r="B12" t="s">
        <v>17</v>
      </c>
      <c r="C12">
        <v>150</v>
      </c>
      <c r="D12">
        <v>400</v>
      </c>
      <c r="E12">
        <v>1000</v>
      </c>
      <c r="F12">
        <v>2500</v>
      </c>
      <c r="G12" t="s">
        <v>16</v>
      </c>
      <c r="I12" t="s">
        <v>16</v>
      </c>
    </row>
    <row r="13" spans="1:10" x14ac:dyDescent="0.25">
      <c r="B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Интеграции</vt:lpstr>
      <vt:lpstr>Высвобождение в рынок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2026-07-15T11:38:10Z</dcterms:modified>
</cp:coreProperties>
</file>